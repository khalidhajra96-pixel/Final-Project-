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Information" sheetId="1" r:id="rId5"/>
    <sheet state="visible" name="Appoinments Table" sheetId="2" r:id="rId6"/>
    <sheet state="visible" name="Billing Table" sheetId="3" r:id="rId7"/>
    <sheet state="visible" name="Daily Revenue" sheetId="4" r:id="rId8"/>
    <sheet state="visible" name="Doctor Wise Revenue" sheetId="5" r:id="rId9"/>
  </sheets>
  <definedNames/>
  <calcPr/>
</workbook>
</file>

<file path=xl/sharedStrings.xml><?xml version="1.0" encoding="utf-8"?>
<sst xmlns="http://schemas.openxmlformats.org/spreadsheetml/2006/main" count="145" uniqueCount="109">
  <si>
    <t>Doctor ID</t>
  </si>
  <si>
    <t>Doctor Name</t>
  </si>
  <si>
    <t>Department</t>
  </si>
  <si>
    <t>Consultation Fee</t>
  </si>
  <si>
    <t>D001</t>
  </si>
  <si>
    <t>Dr. Ali</t>
  </si>
  <si>
    <t>Cardiology</t>
  </si>
  <si>
    <t>D002</t>
  </si>
  <si>
    <t>Dr. Sana</t>
  </si>
  <si>
    <t>Neurology</t>
  </si>
  <si>
    <t>D003</t>
  </si>
  <si>
    <t>Dr. Ahmed</t>
  </si>
  <si>
    <t>Orthopedic</t>
  </si>
  <si>
    <t>D004</t>
  </si>
  <si>
    <t>Dr. Ayesha</t>
  </si>
  <si>
    <t>Pediatrics</t>
  </si>
  <si>
    <t>D005</t>
  </si>
  <si>
    <t>Dr. Faisal</t>
  </si>
  <si>
    <t>Dermatology</t>
  </si>
  <si>
    <t>D006</t>
  </si>
  <si>
    <t>Dr. Hina</t>
  </si>
  <si>
    <t>ENT</t>
  </si>
  <si>
    <t>D007</t>
  </si>
  <si>
    <t>Dr. Imran</t>
  </si>
  <si>
    <t>General Surgery</t>
  </si>
  <si>
    <t>D008</t>
  </si>
  <si>
    <t>Dr. Saba</t>
  </si>
  <si>
    <t>Ophthalmology</t>
  </si>
  <si>
    <t>D009</t>
  </si>
  <si>
    <t>Dr. Kamran</t>
  </si>
  <si>
    <t>Urology</t>
  </si>
  <si>
    <t>D010</t>
  </si>
  <si>
    <t>Dr. Nida</t>
  </si>
  <si>
    <t>Gynecology</t>
  </si>
  <si>
    <t>D011</t>
  </si>
  <si>
    <t>Dr. Farhan</t>
  </si>
  <si>
    <t>D012</t>
  </si>
  <si>
    <t>Dr. Maria</t>
  </si>
  <si>
    <t>D013</t>
  </si>
  <si>
    <t>Dr. Saad</t>
  </si>
  <si>
    <t>D014</t>
  </si>
  <si>
    <t>Dr. Rabia</t>
  </si>
  <si>
    <t>D015</t>
  </si>
  <si>
    <t>Dr. Usman</t>
  </si>
  <si>
    <t>D016</t>
  </si>
  <si>
    <t>Dr. Iqra</t>
  </si>
  <si>
    <t>D017</t>
  </si>
  <si>
    <t>Dr. Zain</t>
  </si>
  <si>
    <t>D018</t>
  </si>
  <si>
    <t>Dr. Huma</t>
  </si>
  <si>
    <t>D019</t>
  </si>
  <si>
    <t>Dr. Bilal</t>
  </si>
  <si>
    <t>D020</t>
  </si>
  <si>
    <t>Dr. Sana Khan</t>
  </si>
  <si>
    <t>Appoinment ID</t>
  </si>
  <si>
    <t>Patient Name</t>
  </si>
  <si>
    <t>Appointment Date</t>
  </si>
  <si>
    <t>Appointment Time</t>
  </si>
  <si>
    <t>Arrival Time</t>
  </si>
  <si>
    <t>Delay (mins)</t>
  </si>
  <si>
    <t>Status</t>
  </si>
  <si>
    <t>A001</t>
  </si>
  <si>
    <t>Ali Khan</t>
  </si>
  <si>
    <t>A002</t>
  </si>
  <si>
    <t>Sara Ahmed</t>
  </si>
  <si>
    <t>A003</t>
  </si>
  <si>
    <t>Hina Riaz</t>
  </si>
  <si>
    <t>A004</t>
  </si>
  <si>
    <t>Fahad Malik</t>
  </si>
  <si>
    <t>A005</t>
  </si>
  <si>
    <t>Maria Khan</t>
  </si>
  <si>
    <t>A006</t>
  </si>
  <si>
    <t>Omar Farooq</t>
  </si>
  <si>
    <t>A007</t>
  </si>
  <si>
    <t>Usman Qureshi</t>
  </si>
  <si>
    <t>A008</t>
  </si>
  <si>
    <t>Sana Iqbal</t>
  </si>
  <si>
    <t>A009</t>
  </si>
  <si>
    <t>Kamran Ali</t>
  </si>
  <si>
    <t>A010</t>
  </si>
  <si>
    <t>Nida Rafiq</t>
  </si>
  <si>
    <t>A011</t>
  </si>
  <si>
    <t>Farhan Shah</t>
  </si>
  <si>
    <t>A012</t>
  </si>
  <si>
    <t>Rabia Saeed</t>
  </si>
  <si>
    <t>A013</t>
  </si>
  <si>
    <t>Bilal Hassan</t>
  </si>
  <si>
    <t>A014</t>
  </si>
  <si>
    <t>Iqra Tariq</t>
  </si>
  <si>
    <t>A015</t>
  </si>
  <si>
    <t>Zain Malik</t>
  </si>
  <si>
    <t>A016</t>
  </si>
  <si>
    <t>Sara khan</t>
  </si>
  <si>
    <t>A017</t>
  </si>
  <si>
    <t>Sobia malik</t>
  </si>
  <si>
    <t>A018</t>
  </si>
  <si>
    <t>Hamza rehan</t>
  </si>
  <si>
    <t>A019</t>
  </si>
  <si>
    <t>Talha khalid</t>
  </si>
  <si>
    <t>A020</t>
  </si>
  <si>
    <t>Zeeshan sheikh</t>
  </si>
  <si>
    <t>Appoinment Date</t>
  </si>
  <si>
    <t>Doctor Id</t>
  </si>
  <si>
    <t>Doctor Fees</t>
  </si>
  <si>
    <t>Total Bill</t>
  </si>
  <si>
    <t>Date</t>
  </si>
  <si>
    <t>Total Patients</t>
  </si>
  <si>
    <t>Total Revenue</t>
  </si>
  <si>
    <t>Total Renenue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</si>
</sst>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10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21.0"/>
      <color theme="1"/>
      <name val="Arial"/>
      <scheme val="minor"/>
    </font>
    <font>
      <b/>
      <sz val="16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4AA0"/>
        <bgColor rgb="FF454AA0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2" fontId="4" numFmtId="0" xfId="0" applyFill="1" applyFont="1"/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8" numFmtId="0" xfId="0" applyFont="1"/>
    <xf borderId="0" fillId="0" fontId="2" numFmtId="0" xfId="0" applyFont="1"/>
    <xf borderId="0" fillId="3" fontId="9" numFmtId="0" xfId="0" applyAlignment="1" applyFill="1" applyFont="1">
      <alignment horizontal="center" readingOrder="0" shrinkToFit="0" vertical="center" wrapText="0"/>
    </xf>
    <xf borderId="0" fillId="2" fontId="9" numFmtId="0" xfId="0" applyAlignment="1" applyFont="1">
      <alignment readingOrder="0"/>
    </xf>
    <xf borderId="1" fillId="4" fontId="3" numFmtId="164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5" fontId="3" numFmtId="164" xfId="0" applyAlignment="1" applyBorder="1" applyFill="1" applyFont="1" applyNumberForma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454AA0"/>
          <bgColor rgb="FF454A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4" pivot="0" name="Doctor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ments 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 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-style">
      <tableStyleElement dxfId="8" type="headerRow"/>
      <tableStyleElement dxfId="9" type="firstRowStripe"/>
      <tableStyleElement dxfId="10" type="secondRowStripe"/>
      <tableStyleElement dxfId="4" size="0" type="wholeTable"/>
    </tableStyle>
    <tableStyle count="2" pivot="0" name="Daily Revenue-style 2">
      <tableStyleElement dxfId="2" type="firstRowStripe"/>
      <tableStyleElement dxfId="3" type="secondRowStripe"/>
    </tableStyle>
    <tableStyle count="2" pivot="0" name="Daily Revenue-style 3">
      <tableStyleElement dxfId="9" type="firstRowStripe"/>
      <tableStyleElement dxfId="10" type="secondRowStripe"/>
    </tableStyle>
    <tableStyle count="3" pivot="0" name="Daily Revenue-style 4">
      <tableStyleElement dxfId="1" type="headerRow"/>
      <tableStyleElement dxfId="2" type="firstRowStripe"/>
      <tableStyleElement dxfId="3" type="secondRowStripe"/>
    </tableStyle>
    <tableStyle count="4" pivot="0" name="Doctor Wise Revenu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2</xdr:row>
      <xdr:rowOff>19050</xdr:rowOff>
    </xdr:from>
    <xdr:ext cx="6724650" cy="3924300"/>
    <xdr:pic>
      <xdr:nvPicPr>
        <xdr:cNvPr id="1519920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Doctor_Information" name="Doctor_Information" id="1">
  <tableColumns count="4">
    <tableColumn name="Doctor ID" id="1"/>
    <tableColumn name="Doctor Name" id="2"/>
    <tableColumn name="Department" id="3"/>
    <tableColumn name="Consultation Fee" id="4"/>
  </tableColumns>
  <tableStyleInfo name="Doctor Information-style" showColumnStripes="0" showFirstColumn="1" showLastColumn="1" showRowStripes="1"/>
</table>
</file>

<file path=xl/tables/table2.xml><?xml version="1.0" encoding="utf-8"?>
<table xmlns="http://schemas.openxmlformats.org/spreadsheetml/2006/main" ref="A1:H21" displayName="Appoinment_Table" name="Appoinment_Table" id="2">
  <tableColumns count="8">
    <tableColumn name="Appoin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" id="7"/>
    <tableColumn name="Status" id="8"/>
  </tableColumns>
  <tableStyleInfo name="Appoinments Table-style" showColumnStripes="0" showFirstColumn="1" showLastColumn="1" showRowStripes="1"/>
</table>
</file>

<file path=xl/tables/table3.xml><?xml version="1.0" encoding="utf-8"?>
<table xmlns="http://schemas.openxmlformats.org/spreadsheetml/2006/main" ref="A1:F21" displayName="Billing_table" name="Billing_table" id="3">
  <tableColumns count="6">
    <tableColumn name="Appoinment ID" id="1"/>
    <tableColumn name="Appoinment Date" id="2"/>
    <tableColumn name="Patient Name" id="3"/>
    <tableColumn name="Doctor Id" id="4"/>
    <tableColumn name="Doctor Fees" id="5"/>
    <tableColumn name="Total Bill" id="6"/>
  </tableColumns>
  <tableStyleInfo name="Billing Table-style" showColumnStripes="0" showFirstColumn="1" showLastColumn="1" showRowStripes="1"/>
</table>
</file>

<file path=xl/tables/table4.xml><?xml version="1.0" encoding="utf-8"?>
<table xmlns="http://schemas.openxmlformats.org/spreadsheetml/2006/main" headerRowCount="0" ref="A1:C1" displayName="Daily_Revenue" name="Daily_Revenue" id="4">
  <tableColumns count="3">
    <tableColumn name="Column1" id="1"/>
    <tableColumn name="Column2" id="2"/>
    <tableColumn name="Column3" id="3"/>
  </tableColumns>
  <tableStyleInfo name="Daily Reven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C21" displayName="Table_1" name="Table_1" id="5">
  <tableColumns count="3">
    <tableColumn name="Column1" id="1"/>
    <tableColumn name="Column2" id="2"/>
    <tableColumn name="Column3" id="3"/>
  </tableColumns>
  <tableStyleInfo name="Daily Revenue-style 2" showColumnStripes="0" showFirstColumn="1" showLastColumn="1" showRowStripes="1"/>
</table>
</file>

<file path=xl/tables/table6.xml><?xml version="1.0" encoding="utf-8"?>
<table xmlns="http://schemas.openxmlformats.org/spreadsheetml/2006/main" headerRowCount="0" ref="I2:K21" displayName="Table_2" name="Table_2" id="6">
  <tableColumns count="3">
    <tableColumn name="Column1" id="1"/>
    <tableColumn name="Column2" id="2"/>
    <tableColumn name="Column3" id="3"/>
  </tableColumns>
  <tableStyleInfo name="Daily Revenue-style 3" showColumnStripes="0" showFirstColumn="1" showLastColumn="1" showRowStripes="1"/>
</table>
</file>

<file path=xl/tables/table7.xml><?xml version="1.0" encoding="utf-8"?>
<table xmlns="http://schemas.openxmlformats.org/spreadsheetml/2006/main" headerRowCount="0" ref="G20" displayName="Table_3" name="Table_3" id="7">
  <tableColumns count="1">
    <tableColumn name="Column1" id="1"/>
  </tableColumns>
  <tableStyleInfo name="Daily Revenu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D21" displayName="Doctor_Wise_Revenue" name="Doctor_Wise_Revenue" id="8">
  <tableColumns count="4">
    <tableColumn name="Doctor ID" id="1"/>
    <tableColumn name="Doctor Name" id="2"/>
    <tableColumn name="Total Patients" id="3"/>
    <tableColumn name="Total Renenue" id="4"/>
  </tableColumns>
  <tableStyleInfo name="Doctor Wise Reven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25"/>
    <col customWidth="1" min="3" max="3" width="18.7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>
        <v>2000.0</v>
      </c>
    </row>
    <row r="3">
      <c r="A3" s="3" t="s">
        <v>7</v>
      </c>
      <c r="B3" s="4" t="s">
        <v>8</v>
      </c>
      <c r="C3" s="4" t="s">
        <v>9</v>
      </c>
      <c r="D3" s="5">
        <v>2500.0</v>
      </c>
    </row>
    <row r="4">
      <c r="A4" s="3" t="s">
        <v>10</v>
      </c>
      <c r="B4" s="4" t="s">
        <v>11</v>
      </c>
      <c r="C4" s="4" t="s">
        <v>12</v>
      </c>
      <c r="D4" s="5">
        <v>1800.0</v>
      </c>
    </row>
    <row r="5">
      <c r="A5" s="3" t="s">
        <v>13</v>
      </c>
      <c r="B5" s="4" t="s">
        <v>14</v>
      </c>
      <c r="C5" s="4" t="s">
        <v>15</v>
      </c>
      <c r="D5" s="5">
        <v>1500.0</v>
      </c>
    </row>
    <row r="6">
      <c r="A6" s="3" t="s">
        <v>16</v>
      </c>
      <c r="B6" s="4" t="s">
        <v>17</v>
      </c>
      <c r="C6" s="4" t="s">
        <v>18</v>
      </c>
      <c r="D6" s="5">
        <v>1700.0</v>
      </c>
    </row>
    <row r="7">
      <c r="A7" s="3" t="s">
        <v>19</v>
      </c>
      <c r="B7" s="4" t="s">
        <v>20</v>
      </c>
      <c r="C7" s="4" t="s">
        <v>21</v>
      </c>
      <c r="D7" s="5">
        <v>1600.0</v>
      </c>
    </row>
    <row r="8">
      <c r="A8" s="3" t="s">
        <v>22</v>
      </c>
      <c r="B8" s="4" t="s">
        <v>23</v>
      </c>
      <c r="C8" s="4" t="s">
        <v>24</v>
      </c>
      <c r="D8" s="5">
        <v>2200.0</v>
      </c>
    </row>
    <row r="9">
      <c r="A9" s="3" t="s">
        <v>25</v>
      </c>
      <c r="B9" s="4" t="s">
        <v>26</v>
      </c>
      <c r="C9" s="4" t="s">
        <v>27</v>
      </c>
      <c r="D9" s="5">
        <v>1900.0</v>
      </c>
    </row>
    <row r="10">
      <c r="A10" s="3" t="s">
        <v>28</v>
      </c>
      <c r="B10" s="4" t="s">
        <v>29</v>
      </c>
      <c r="C10" s="4" t="s">
        <v>30</v>
      </c>
      <c r="D10" s="5">
        <v>2100.0</v>
      </c>
    </row>
    <row r="11">
      <c r="A11" s="3" t="s">
        <v>31</v>
      </c>
      <c r="B11" s="4" t="s">
        <v>32</v>
      </c>
      <c r="C11" s="4" t="s">
        <v>33</v>
      </c>
      <c r="D11" s="5">
        <v>2300.0</v>
      </c>
    </row>
    <row r="12">
      <c r="A12" s="3" t="s">
        <v>34</v>
      </c>
      <c r="B12" s="4" t="s">
        <v>35</v>
      </c>
      <c r="C12" s="4" t="s">
        <v>6</v>
      </c>
      <c r="D12" s="5">
        <v>2000.0</v>
      </c>
    </row>
    <row r="13">
      <c r="A13" s="3" t="s">
        <v>36</v>
      </c>
      <c r="B13" s="4" t="s">
        <v>37</v>
      </c>
      <c r="C13" s="4" t="s">
        <v>9</v>
      </c>
      <c r="D13" s="5">
        <v>2500.0</v>
      </c>
    </row>
    <row r="14">
      <c r="A14" s="3" t="s">
        <v>38</v>
      </c>
      <c r="B14" s="4" t="s">
        <v>39</v>
      </c>
      <c r="C14" s="4" t="s">
        <v>12</v>
      </c>
      <c r="D14" s="5">
        <v>1800.0</v>
      </c>
    </row>
    <row r="15">
      <c r="A15" s="3" t="s">
        <v>40</v>
      </c>
      <c r="B15" s="4" t="s">
        <v>41</v>
      </c>
      <c r="C15" s="4" t="s">
        <v>15</v>
      </c>
      <c r="D15" s="5">
        <v>1500.0</v>
      </c>
    </row>
    <row r="16">
      <c r="A16" s="3" t="s">
        <v>42</v>
      </c>
      <c r="B16" s="4" t="s">
        <v>43</v>
      </c>
      <c r="C16" s="4" t="s">
        <v>18</v>
      </c>
      <c r="D16" s="5">
        <v>1700.0</v>
      </c>
    </row>
    <row r="17">
      <c r="A17" s="3" t="s">
        <v>44</v>
      </c>
      <c r="B17" s="4" t="s">
        <v>45</v>
      </c>
      <c r="C17" s="4" t="s">
        <v>21</v>
      </c>
      <c r="D17" s="5">
        <v>1600.0</v>
      </c>
    </row>
    <row r="18">
      <c r="A18" s="3" t="s">
        <v>46</v>
      </c>
      <c r="B18" s="4" t="s">
        <v>47</v>
      </c>
      <c r="C18" s="4" t="s">
        <v>24</v>
      </c>
      <c r="D18" s="5">
        <v>2200.0</v>
      </c>
    </row>
    <row r="19">
      <c r="A19" s="3" t="s">
        <v>48</v>
      </c>
      <c r="B19" s="4" t="s">
        <v>49</v>
      </c>
      <c r="C19" s="4" t="s">
        <v>27</v>
      </c>
      <c r="D19" s="5">
        <v>1900.0</v>
      </c>
    </row>
    <row r="20">
      <c r="A20" s="3" t="s">
        <v>50</v>
      </c>
      <c r="B20" s="4" t="s">
        <v>51</v>
      </c>
      <c r="C20" s="4" t="s">
        <v>30</v>
      </c>
      <c r="D20" s="5">
        <v>2100.0</v>
      </c>
      <c r="L20" s="6"/>
    </row>
    <row r="21">
      <c r="A21" s="3" t="s">
        <v>52</v>
      </c>
      <c r="B21" s="4" t="s">
        <v>53</v>
      </c>
      <c r="C21" s="4" t="s">
        <v>33</v>
      </c>
      <c r="D21" s="5">
        <v>2300.0</v>
      </c>
    </row>
  </sheetData>
  <dataValidations>
    <dataValidation type="custom" allowBlank="1" showDropDown="1" sqref="D2:D2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9.75"/>
    <col customWidth="1" min="3" max="3" width="21.25"/>
    <col customWidth="1" min="4" max="5" width="33.13"/>
    <col customWidth="1" min="6" max="6" width="33.75"/>
    <col customWidth="1" min="7" max="7" width="25.25"/>
    <col customWidth="1" min="8" max="8" width="25.63"/>
    <col customWidth="1" min="9" max="9" width="14.25"/>
  </cols>
  <sheetData>
    <row r="1">
      <c r="A1" s="7" t="s">
        <v>54</v>
      </c>
      <c r="B1" s="7" t="s">
        <v>55</v>
      </c>
      <c r="C1" s="8" t="s">
        <v>0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</row>
    <row r="2">
      <c r="A2" s="9" t="s">
        <v>61</v>
      </c>
      <c r="B2" s="4" t="s">
        <v>62</v>
      </c>
      <c r="C2" s="10" t="str">
        <f t="shared" ref="C2:C21" si="1">CONCATENATE("D",RIGHT(A2,LEN(A2) - 1))</f>
        <v>D001</v>
      </c>
      <c r="D2" s="11">
        <v>46061.0</v>
      </c>
      <c r="E2" s="12">
        <v>0.4166666666666667</v>
      </c>
      <c r="F2" s="12">
        <v>0.4201388888888889</v>
      </c>
      <c r="G2" s="4">
        <f t="shared" ref="G2:G21" si="2">IF(F2="", "", MAX(0, (F2-E2)*1440))
</f>
        <v>5</v>
      </c>
      <c r="H2" s="4" t="str">
        <f t="shared" ref="H2:H21" si="3">IF(AND(F2="", D2 &lt; TODAY()), "Missed", IF(G2=0, "On Time", "Late"))
</f>
        <v>Late</v>
      </c>
    </row>
    <row r="3">
      <c r="A3" s="9" t="s">
        <v>63</v>
      </c>
      <c r="B3" s="4" t="s">
        <v>64</v>
      </c>
      <c r="C3" s="10" t="str">
        <f t="shared" si="1"/>
        <v>D002</v>
      </c>
      <c r="D3" s="11">
        <v>46061.0</v>
      </c>
      <c r="E3" s="12">
        <v>0.4583333333333333</v>
      </c>
      <c r="F3" s="12">
        <v>0.4583333333333333</v>
      </c>
      <c r="G3" s="4">
        <f t="shared" si="2"/>
        <v>0</v>
      </c>
      <c r="H3" s="4" t="str">
        <f t="shared" si="3"/>
        <v>On Time</v>
      </c>
    </row>
    <row r="4">
      <c r="A4" s="9" t="s">
        <v>65</v>
      </c>
      <c r="B4" s="4" t="s">
        <v>66</v>
      </c>
      <c r="C4" s="10" t="str">
        <f t="shared" si="1"/>
        <v>D003</v>
      </c>
      <c r="D4" s="11">
        <v>46062.0</v>
      </c>
      <c r="E4" s="12">
        <v>0.5833333333333334</v>
      </c>
      <c r="F4" s="12">
        <v>0.5833333333333334</v>
      </c>
      <c r="G4" s="4">
        <f t="shared" si="2"/>
        <v>0</v>
      </c>
      <c r="H4" s="4" t="str">
        <f t="shared" si="3"/>
        <v>On Time</v>
      </c>
    </row>
    <row r="5">
      <c r="A5" s="9" t="s">
        <v>67</v>
      </c>
      <c r="B5" s="4" t="s">
        <v>68</v>
      </c>
      <c r="C5" s="10" t="str">
        <f t="shared" si="1"/>
        <v>D004</v>
      </c>
      <c r="D5" s="11">
        <v>46056.0</v>
      </c>
      <c r="E5" s="12">
        <v>0.5625</v>
      </c>
      <c r="F5" s="12"/>
      <c r="G5" s="4" t="str">
        <f t="shared" si="2"/>
        <v/>
      </c>
      <c r="H5" s="4" t="str">
        <f t="shared" si="3"/>
        <v>Missed</v>
      </c>
    </row>
    <row r="6">
      <c r="A6" s="9" t="s">
        <v>69</v>
      </c>
      <c r="B6" s="4" t="s">
        <v>70</v>
      </c>
      <c r="C6" s="10" t="str">
        <f t="shared" si="1"/>
        <v>D005</v>
      </c>
      <c r="D6" s="11">
        <v>46063.0</v>
      </c>
      <c r="E6" s="12">
        <v>0.625</v>
      </c>
      <c r="F6" s="12">
        <v>0.6319444444444444</v>
      </c>
      <c r="G6" s="4">
        <f t="shared" si="2"/>
        <v>10</v>
      </c>
      <c r="H6" s="4" t="str">
        <f t="shared" si="3"/>
        <v>Late</v>
      </c>
    </row>
    <row r="7">
      <c r="A7" s="9" t="s">
        <v>71</v>
      </c>
      <c r="B7" s="4" t="s">
        <v>72</v>
      </c>
      <c r="C7" s="13" t="str">
        <f t="shared" si="1"/>
        <v>D006</v>
      </c>
      <c r="D7" s="11">
        <v>46061.0</v>
      </c>
      <c r="E7" s="12">
        <v>0.3958333333333333</v>
      </c>
      <c r="F7" s="12">
        <v>0.4097222222222222</v>
      </c>
      <c r="G7" s="4">
        <f t="shared" si="2"/>
        <v>20</v>
      </c>
      <c r="H7" s="4" t="str">
        <f t="shared" si="3"/>
        <v>Late</v>
      </c>
    </row>
    <row r="8">
      <c r="A8" s="9" t="s">
        <v>73</v>
      </c>
      <c r="B8" s="4" t="s">
        <v>74</v>
      </c>
      <c r="C8" s="13" t="str">
        <f t="shared" si="1"/>
        <v>D007</v>
      </c>
      <c r="D8" s="11">
        <v>46063.0</v>
      </c>
      <c r="E8" s="12">
        <v>0.375</v>
      </c>
      <c r="F8" s="12">
        <v>0.375</v>
      </c>
      <c r="G8" s="4">
        <f t="shared" si="2"/>
        <v>0</v>
      </c>
      <c r="H8" s="4" t="str">
        <f t="shared" si="3"/>
        <v>On Time</v>
      </c>
    </row>
    <row r="9">
      <c r="A9" s="9" t="s">
        <v>75</v>
      </c>
      <c r="B9" s="4" t="s">
        <v>76</v>
      </c>
      <c r="C9" s="13" t="str">
        <f t="shared" si="1"/>
        <v>D008</v>
      </c>
      <c r="D9" s="11">
        <v>46064.0</v>
      </c>
      <c r="E9" s="12">
        <v>0.4375</v>
      </c>
      <c r="F9" s="12">
        <v>0.4479166666666667</v>
      </c>
      <c r="G9" s="4">
        <f t="shared" si="2"/>
        <v>15</v>
      </c>
      <c r="H9" s="4" t="str">
        <f t="shared" si="3"/>
        <v>Late</v>
      </c>
    </row>
    <row r="10">
      <c r="A10" s="9" t="s">
        <v>77</v>
      </c>
      <c r="B10" s="4" t="s">
        <v>78</v>
      </c>
      <c r="C10" s="13" t="str">
        <f t="shared" si="1"/>
        <v>D009</v>
      </c>
      <c r="D10" s="11">
        <v>46064.0</v>
      </c>
      <c r="E10" s="12">
        <v>0.46875</v>
      </c>
      <c r="F10" s="12">
        <v>0.46875</v>
      </c>
      <c r="G10" s="4">
        <f t="shared" si="2"/>
        <v>0</v>
      </c>
      <c r="H10" s="4" t="str">
        <f t="shared" si="3"/>
        <v>On Time</v>
      </c>
    </row>
    <row r="11">
      <c r="A11" s="9" t="s">
        <v>79</v>
      </c>
      <c r="B11" s="4" t="s">
        <v>80</v>
      </c>
      <c r="C11" s="13" t="str">
        <f t="shared" si="1"/>
        <v>D010</v>
      </c>
      <c r="D11" s="11">
        <v>46065.0</v>
      </c>
      <c r="E11" s="12">
        <v>0.5</v>
      </c>
      <c r="F11" s="12">
        <v>0.5034722222222222</v>
      </c>
      <c r="G11" s="4">
        <f t="shared" si="2"/>
        <v>5</v>
      </c>
      <c r="H11" s="4" t="str">
        <f t="shared" si="3"/>
        <v>Late</v>
      </c>
    </row>
    <row r="12">
      <c r="A12" s="9" t="s">
        <v>81</v>
      </c>
      <c r="B12" s="4" t="s">
        <v>82</v>
      </c>
      <c r="C12" s="13" t="str">
        <f t="shared" si="1"/>
        <v>D011</v>
      </c>
      <c r="D12" s="11">
        <v>46065.0</v>
      </c>
      <c r="E12" s="12">
        <v>0.5416666666666666</v>
      </c>
      <c r="F12" s="12">
        <v>0.5416666666666666</v>
      </c>
      <c r="G12" s="4">
        <f t="shared" si="2"/>
        <v>0</v>
      </c>
      <c r="H12" s="4" t="str">
        <f t="shared" si="3"/>
        <v>On Time</v>
      </c>
    </row>
    <row r="13">
      <c r="A13" s="9" t="s">
        <v>83</v>
      </c>
      <c r="B13" s="4" t="s">
        <v>84</v>
      </c>
      <c r="C13" s="13" t="str">
        <f t="shared" si="1"/>
        <v>D012</v>
      </c>
      <c r="D13" s="11">
        <v>46059.0</v>
      </c>
      <c r="E13" s="12">
        <v>0.23958333333333334</v>
      </c>
      <c r="F13" s="14"/>
      <c r="G13" s="4" t="str">
        <f t="shared" si="2"/>
        <v/>
      </c>
      <c r="H13" s="4" t="str">
        <f t="shared" si="3"/>
        <v>Missed</v>
      </c>
    </row>
    <row r="14">
      <c r="A14" s="9" t="s">
        <v>85</v>
      </c>
      <c r="B14" s="4" t="s">
        <v>86</v>
      </c>
      <c r="C14" s="13" t="str">
        <f t="shared" si="1"/>
        <v>D013</v>
      </c>
      <c r="D14" s="11">
        <v>46066.0</v>
      </c>
      <c r="E14" s="12">
        <v>0.3958333333333333</v>
      </c>
      <c r="F14" s="12">
        <v>0.4027777777777778</v>
      </c>
      <c r="G14" s="4">
        <f t="shared" si="2"/>
        <v>10</v>
      </c>
      <c r="H14" s="4" t="str">
        <f t="shared" si="3"/>
        <v>Late</v>
      </c>
    </row>
    <row r="15">
      <c r="A15" s="9" t="s">
        <v>87</v>
      </c>
      <c r="B15" s="4" t="s">
        <v>88</v>
      </c>
      <c r="C15" s="13" t="str">
        <f t="shared" si="1"/>
        <v>D014</v>
      </c>
      <c r="D15" s="11">
        <v>46061.0</v>
      </c>
      <c r="E15" s="12">
        <v>0.4270833333333333</v>
      </c>
      <c r="F15" s="12"/>
      <c r="G15" s="4" t="str">
        <f t="shared" si="2"/>
        <v/>
      </c>
      <c r="H15" s="4" t="str">
        <f t="shared" si="3"/>
        <v>Missed</v>
      </c>
    </row>
    <row r="16">
      <c r="A16" s="9" t="s">
        <v>89</v>
      </c>
      <c r="B16" s="4" t="s">
        <v>90</v>
      </c>
      <c r="C16" s="13" t="str">
        <f t="shared" si="1"/>
        <v>D015</v>
      </c>
      <c r="D16" s="11">
        <v>46067.0</v>
      </c>
      <c r="E16" s="12">
        <v>0.4583333333333333</v>
      </c>
      <c r="F16" s="12">
        <v>0.4513888888888889</v>
      </c>
      <c r="G16" s="4">
        <f t="shared" si="2"/>
        <v>0</v>
      </c>
      <c r="H16" s="4" t="str">
        <f t="shared" si="3"/>
        <v>On Time</v>
      </c>
    </row>
    <row r="17">
      <c r="A17" s="9" t="s">
        <v>91</v>
      </c>
      <c r="B17" s="4" t="s">
        <v>92</v>
      </c>
      <c r="C17" s="13" t="str">
        <f t="shared" si="1"/>
        <v>D016</v>
      </c>
      <c r="D17" s="11">
        <v>46068.0</v>
      </c>
      <c r="E17" s="12">
        <v>0.03125</v>
      </c>
      <c r="F17" s="12">
        <v>0.034722222222222224</v>
      </c>
      <c r="G17" s="4">
        <f t="shared" si="2"/>
        <v>5</v>
      </c>
      <c r="H17" s="4" t="str">
        <f t="shared" si="3"/>
        <v>Late</v>
      </c>
    </row>
    <row r="18">
      <c r="A18" s="9" t="s">
        <v>93</v>
      </c>
      <c r="B18" s="4" t="s">
        <v>94</v>
      </c>
      <c r="C18" s="13" t="str">
        <f t="shared" si="1"/>
        <v>D017</v>
      </c>
      <c r="D18" s="11">
        <v>46069.0</v>
      </c>
      <c r="E18" s="12">
        <v>0.9166666666666666</v>
      </c>
      <c r="F18" s="12">
        <v>0.5</v>
      </c>
      <c r="G18" s="4">
        <f t="shared" si="2"/>
        <v>0</v>
      </c>
      <c r="H18" s="4" t="str">
        <f t="shared" si="3"/>
        <v>On Time</v>
      </c>
    </row>
    <row r="19">
      <c r="A19" s="9" t="s">
        <v>95</v>
      </c>
      <c r="B19" s="4" t="s">
        <v>96</v>
      </c>
      <c r="C19" s="13" t="str">
        <f t="shared" si="1"/>
        <v>D018</v>
      </c>
      <c r="D19" s="11">
        <v>46069.0</v>
      </c>
      <c r="E19" s="12">
        <v>0.9583333333333334</v>
      </c>
      <c r="F19" s="12">
        <v>0.5243055555555556</v>
      </c>
      <c r="G19" s="4">
        <f t="shared" si="2"/>
        <v>0</v>
      </c>
      <c r="H19" s="4" t="str">
        <f t="shared" si="3"/>
        <v>On Time</v>
      </c>
    </row>
    <row r="20">
      <c r="A20" s="9" t="s">
        <v>97</v>
      </c>
      <c r="B20" s="4" t="s">
        <v>98</v>
      </c>
      <c r="C20" s="13" t="str">
        <f t="shared" si="1"/>
        <v>D019</v>
      </c>
      <c r="D20" s="11">
        <v>46055.0</v>
      </c>
      <c r="E20" s="12">
        <v>0.3958333333333333</v>
      </c>
      <c r="F20" s="12"/>
      <c r="G20" s="4" t="str">
        <f t="shared" si="2"/>
        <v/>
      </c>
      <c r="H20" s="4" t="str">
        <f t="shared" si="3"/>
        <v>Missed</v>
      </c>
    </row>
    <row r="21">
      <c r="A21" s="9" t="s">
        <v>99</v>
      </c>
      <c r="B21" s="4" t="s">
        <v>100</v>
      </c>
      <c r="C21" s="13" t="str">
        <f t="shared" si="1"/>
        <v>D020</v>
      </c>
      <c r="D21" s="11">
        <v>46071.0</v>
      </c>
      <c r="E21" s="12">
        <v>0.5833333333333334</v>
      </c>
      <c r="F21" s="12">
        <v>0.5729166666666666</v>
      </c>
      <c r="G21" s="4">
        <f t="shared" si="2"/>
        <v>0</v>
      </c>
      <c r="H21" s="4" t="str">
        <f t="shared" si="3"/>
        <v>On Time</v>
      </c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conditionalFormatting sqref="H2:H21">
    <cfRule type="containsText" dxfId="5" priority="1" operator="containsText" text="on">
      <formula>NOT(ISERROR(SEARCH(("on"),(H2))))</formula>
    </cfRule>
  </conditionalFormatting>
  <conditionalFormatting sqref="H2:H21">
    <cfRule type="containsText" dxfId="6" priority="2" operator="containsText" text="missed">
      <formula>NOT(ISERROR(SEARCH(("missed"),(H2))))</formula>
    </cfRule>
  </conditionalFormatting>
  <conditionalFormatting sqref="H2:H21">
    <cfRule type="containsText" dxfId="7" priority="3" operator="containsText" text="late">
      <formula>NOT(ISERROR(SEARCH(("late"),(H2))))</formula>
    </cfRule>
  </conditionalFormatting>
  <dataValidations>
    <dataValidation type="custom" allowBlank="1" showDropDown="1" sqref="E2:F21">
      <formula1>OR(TIMEVALUE(TEXT(E2, "hh:mm:ss"))=E2, AND(ISNUMBER(E2), LEFT(CELL("format", E2))="D"))</formula1>
    </dataValidation>
    <dataValidation type="list" allowBlank="1" sqref="A2:A21">
      <formula1>"A001,A002,A003,A004,A005,A006,A007,A008,A009,A010,A011,A012,A013,A014,A015,A016,A017,A018,A019,A020"</formula1>
    </dataValidation>
    <dataValidation type="custom" allowBlank="1" showDropDown="1" sqref="D2:D21">
      <formula1>OR(NOT(ISERROR(DATEVALUE(D2))), AND(ISNUMBER(D2), LEFT(CELL("format", D2))="D"))</formula1>
    </dataValidation>
    <dataValidation type="list" allowBlank="1" sqref="C2:C21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5.63"/>
    <col customWidth="1" min="3" max="3" width="25.13"/>
    <col customWidth="1" min="4" max="4" width="13.5"/>
    <col customWidth="1" min="5" max="5" width="18.0"/>
  </cols>
  <sheetData>
    <row r="1">
      <c r="A1" s="16" t="s">
        <v>54</v>
      </c>
      <c r="B1" s="16" t="s">
        <v>101</v>
      </c>
      <c r="C1" s="16" t="s">
        <v>55</v>
      </c>
      <c r="D1" s="16" t="s">
        <v>102</v>
      </c>
      <c r="E1" s="16" t="s">
        <v>103</v>
      </c>
      <c r="F1" s="16" t="s">
        <v>104</v>
      </c>
    </row>
    <row r="2">
      <c r="A2" s="9" t="s">
        <v>61</v>
      </c>
      <c r="B2" s="17">
        <f>VLOOKUP(A2,Appoinment_Table[],4,false)</f>
        <v>46061</v>
      </c>
      <c r="C2" s="18" t="str">
        <f>VLOOKUP(A2,Appoinment_Table[],2,false
)</f>
        <v>Ali Khan</v>
      </c>
      <c r="D2" s="18" t="str">
        <f>VLOOKUP(A2,Appoinment_Table[],3,false )</f>
        <v>D001</v>
      </c>
      <c r="E2" s="18">
        <f>IFERROR(VLOOKUP(TRIM(D2), 'Doctor Information'!A:D, 4, FALSE), "")</f>
        <v>2000</v>
      </c>
      <c r="F2" s="18">
        <f t="shared" ref="F2:F21" si="1">IF($E2="", "", $E2)</f>
        <v>2000</v>
      </c>
      <c r="G2" s="19"/>
    </row>
    <row r="3">
      <c r="A3" s="9" t="s">
        <v>63</v>
      </c>
      <c r="B3" s="17">
        <f>VLOOKUP(A3,Appoinment_Table[],4,false)</f>
        <v>46061</v>
      </c>
      <c r="C3" s="18" t="str">
        <f>VLOOKUP(A3,Appoinment_Table[],2,false
)</f>
        <v>Sara Ahmed</v>
      </c>
      <c r="D3" s="18" t="str">
        <f>VLOOKUP(A3,Appoinment_Table[],3,false )</f>
        <v>D002</v>
      </c>
      <c r="E3" s="18">
        <f>IFERROR(VLOOKUP(TRIM(D3), 'Doctor Information'!A:D, 4, FALSE), "")</f>
        <v>2500</v>
      </c>
      <c r="F3" s="18">
        <f t="shared" si="1"/>
        <v>2500</v>
      </c>
      <c r="G3" s="19"/>
    </row>
    <row r="4">
      <c r="A4" s="9" t="s">
        <v>65</v>
      </c>
      <c r="B4" s="17">
        <f>VLOOKUP(A4,Appoinment_Table[],4,false)</f>
        <v>46062</v>
      </c>
      <c r="C4" s="18" t="str">
        <f>VLOOKUP(A4,Appoinment_Table[],2,false
)</f>
        <v>Hina Riaz</v>
      </c>
      <c r="D4" s="18" t="str">
        <f>VLOOKUP(A4,Appoinment_Table[],3,false )</f>
        <v>D003</v>
      </c>
      <c r="E4" s="18">
        <f>IFERROR(VLOOKUP(TRIM(D4), 'Doctor Information'!A:D, 4, FALSE), "")</f>
        <v>1800</v>
      </c>
      <c r="F4" s="18">
        <f t="shared" si="1"/>
        <v>1800</v>
      </c>
      <c r="G4" s="19"/>
    </row>
    <row r="5">
      <c r="A5" s="9" t="s">
        <v>67</v>
      </c>
      <c r="B5" s="17">
        <f>VLOOKUP(A5,Appoinment_Table[],4,false)</f>
        <v>46056</v>
      </c>
      <c r="C5" s="18" t="str">
        <f>VLOOKUP(A5,Appoinment_Table[],2,false
)</f>
        <v>Fahad Malik</v>
      </c>
      <c r="D5" s="18" t="str">
        <f>VLOOKUP(A5,Appoinment_Table[],3,false )</f>
        <v>D004</v>
      </c>
      <c r="E5" s="18">
        <f>IFERROR(VLOOKUP(TRIM(D5), 'Doctor Information'!A:D, 4, FALSE), "")</f>
        <v>1500</v>
      </c>
      <c r="F5" s="18">
        <f t="shared" si="1"/>
        <v>1500</v>
      </c>
      <c r="G5" s="19"/>
    </row>
    <row r="6">
      <c r="A6" s="9" t="s">
        <v>69</v>
      </c>
      <c r="B6" s="17">
        <f>VLOOKUP(A6,Appoinment_Table[],4,false)</f>
        <v>46063</v>
      </c>
      <c r="C6" s="18" t="str">
        <f>VLOOKUP(A6,Appoinment_Table[],2,false
)</f>
        <v>Maria Khan</v>
      </c>
      <c r="D6" s="18" t="str">
        <f>VLOOKUP(A6,Appoinment_Table[],3,false )</f>
        <v>D005</v>
      </c>
      <c r="E6" s="18">
        <f>IFERROR(VLOOKUP(TRIM(D6), 'Doctor Information'!A:D, 4, FALSE), "")</f>
        <v>1700</v>
      </c>
      <c r="F6" s="18">
        <f t="shared" si="1"/>
        <v>1700</v>
      </c>
      <c r="G6" s="19"/>
    </row>
    <row r="7">
      <c r="A7" s="9" t="s">
        <v>71</v>
      </c>
      <c r="B7" s="17">
        <f>VLOOKUP(A7,Appoinment_Table[],4,false)</f>
        <v>46061</v>
      </c>
      <c r="C7" s="18" t="str">
        <f>VLOOKUP(A7,Appoinment_Table[],2,false
)</f>
        <v>Omar Farooq</v>
      </c>
      <c r="D7" s="18" t="str">
        <f>VLOOKUP(A7,Appoinment_Table[],3,false )</f>
        <v>D006</v>
      </c>
      <c r="E7" s="18">
        <f>IFERROR(VLOOKUP(TRIM(D7), 'Doctor Information'!A:D, 4, FALSE), "")</f>
        <v>1600</v>
      </c>
      <c r="F7" s="18">
        <f t="shared" si="1"/>
        <v>1600</v>
      </c>
      <c r="G7" s="19"/>
    </row>
    <row r="8">
      <c r="A8" s="9" t="s">
        <v>73</v>
      </c>
      <c r="B8" s="17">
        <f>VLOOKUP(A8,Appoinment_Table[],4,false)</f>
        <v>46063</v>
      </c>
      <c r="C8" s="18" t="str">
        <f>VLOOKUP(A8,Appoinment_Table[],2,false
)</f>
        <v>Usman Qureshi</v>
      </c>
      <c r="D8" s="18" t="str">
        <f>VLOOKUP(A8,Appoinment_Table[],3,false )</f>
        <v>D007</v>
      </c>
      <c r="E8" s="18">
        <f>IFERROR(VLOOKUP(TRIM(D8), 'Doctor Information'!A:D, 4, FALSE), "")</f>
        <v>2200</v>
      </c>
      <c r="F8" s="18">
        <f t="shared" si="1"/>
        <v>2200</v>
      </c>
      <c r="G8" s="19"/>
    </row>
    <row r="9">
      <c r="A9" s="9" t="s">
        <v>75</v>
      </c>
      <c r="B9" s="17">
        <f>VLOOKUP(A9,Appoinment_Table[],4,false)</f>
        <v>46064</v>
      </c>
      <c r="C9" s="18" t="str">
        <f>VLOOKUP(A9,Appoinment_Table[],2,false
)</f>
        <v>Sana Iqbal</v>
      </c>
      <c r="D9" s="18" t="str">
        <f>VLOOKUP(A9,Appoinment_Table[],3,false )</f>
        <v>D008</v>
      </c>
      <c r="E9" s="18">
        <f>IFERROR(VLOOKUP(TRIM(D9), 'Doctor Information'!A:D, 4, FALSE), "")</f>
        <v>1900</v>
      </c>
      <c r="F9" s="18">
        <f t="shared" si="1"/>
        <v>1900</v>
      </c>
      <c r="G9" s="19"/>
    </row>
    <row r="10">
      <c r="A10" s="9" t="s">
        <v>77</v>
      </c>
      <c r="B10" s="17">
        <f>VLOOKUP(A10,Appoinment_Table[],4,false)</f>
        <v>46064</v>
      </c>
      <c r="C10" s="18" t="str">
        <f>VLOOKUP(A10,Appoinment_Table[],2,false
)</f>
        <v>Kamran Ali</v>
      </c>
      <c r="D10" s="18" t="str">
        <f>VLOOKUP(A10,Appoinment_Table[],3,false )</f>
        <v>D009</v>
      </c>
      <c r="E10" s="18">
        <f>IFERROR(VLOOKUP(TRIM(D10), 'Doctor Information'!A:D, 4, FALSE), "")</f>
        <v>2100</v>
      </c>
      <c r="F10" s="18">
        <f t="shared" si="1"/>
        <v>2100</v>
      </c>
      <c r="G10" s="19"/>
    </row>
    <row r="11">
      <c r="A11" s="9" t="s">
        <v>79</v>
      </c>
      <c r="B11" s="17">
        <f>VLOOKUP(A11,Appoinment_Table[],4,false)</f>
        <v>46065</v>
      </c>
      <c r="C11" s="18" t="str">
        <f>VLOOKUP(A11,Appoinment_Table[],2,false
)</f>
        <v>Nida Rafiq</v>
      </c>
      <c r="D11" s="18" t="str">
        <f>VLOOKUP(A11,Appoinment_Table[],3,false )</f>
        <v>D010</v>
      </c>
      <c r="E11" s="18">
        <f>IFERROR(VLOOKUP(TRIM(D11), 'Doctor Information'!A:D, 4, FALSE), "")</f>
        <v>2300</v>
      </c>
      <c r="F11" s="18">
        <f t="shared" si="1"/>
        <v>2300</v>
      </c>
      <c r="G11" s="19"/>
    </row>
    <row r="12">
      <c r="A12" s="9" t="s">
        <v>81</v>
      </c>
      <c r="B12" s="17">
        <f>VLOOKUP(A12,Appoinment_Table[],4,false)</f>
        <v>46065</v>
      </c>
      <c r="C12" s="18" t="str">
        <f>VLOOKUP(A12,Appoinment_Table[],2,false
)</f>
        <v>Farhan Shah</v>
      </c>
      <c r="D12" s="18" t="str">
        <f>VLOOKUP(A12,Appoinment_Table[],3,false )</f>
        <v>D011</v>
      </c>
      <c r="E12" s="18">
        <f>IFERROR(VLOOKUP(TRIM(D12), 'Doctor Information'!A:D, 4, FALSE), "")</f>
        <v>2000</v>
      </c>
      <c r="F12" s="18">
        <f t="shared" si="1"/>
        <v>2000</v>
      </c>
      <c r="G12" s="19"/>
    </row>
    <row r="13">
      <c r="A13" s="9" t="s">
        <v>83</v>
      </c>
      <c r="B13" s="17">
        <f>VLOOKUP(A13,Appoinment_Table[],4,false)</f>
        <v>46059</v>
      </c>
      <c r="C13" s="18" t="str">
        <f>VLOOKUP(A13,Appoinment_Table[],2,false
)</f>
        <v>Rabia Saeed</v>
      </c>
      <c r="D13" s="18" t="str">
        <f>VLOOKUP(A13,Appoinment_Table[],3,false )</f>
        <v>D012</v>
      </c>
      <c r="E13" s="18">
        <f>IFERROR(VLOOKUP(TRIM(D13), 'Doctor Information'!A:D, 4, FALSE), "")</f>
        <v>2500</v>
      </c>
      <c r="F13" s="18">
        <f t="shared" si="1"/>
        <v>2500</v>
      </c>
      <c r="G13" s="19"/>
    </row>
    <row r="14">
      <c r="A14" s="9" t="s">
        <v>85</v>
      </c>
      <c r="B14" s="17">
        <f>VLOOKUP(A14,Appoinment_Table[],4,false)</f>
        <v>46066</v>
      </c>
      <c r="C14" s="18" t="str">
        <f>VLOOKUP(A14,Appoinment_Table[],2,false
)</f>
        <v>Bilal Hassan</v>
      </c>
      <c r="D14" s="18" t="str">
        <f>VLOOKUP(A14,Appoinment_Table[],3,false )</f>
        <v>D013</v>
      </c>
      <c r="E14" s="18">
        <f>IFERROR(VLOOKUP(TRIM(D14), 'Doctor Information'!A:D, 4, FALSE), "")</f>
        <v>1800</v>
      </c>
      <c r="F14" s="18">
        <f t="shared" si="1"/>
        <v>1800</v>
      </c>
      <c r="G14" s="19"/>
    </row>
    <row r="15">
      <c r="A15" s="9" t="s">
        <v>87</v>
      </c>
      <c r="B15" s="17">
        <f>VLOOKUP(A15,Appoinment_Table[],4,false)</f>
        <v>46061</v>
      </c>
      <c r="C15" s="18" t="str">
        <f>VLOOKUP(A15,Appoinment_Table[],2,false
)</f>
        <v>Iqra Tariq</v>
      </c>
      <c r="D15" s="18" t="str">
        <f>VLOOKUP(A15,Appoinment_Table[],3,false )</f>
        <v>D014</v>
      </c>
      <c r="E15" s="18">
        <f>IFERROR(VLOOKUP(TRIM(D15), 'Doctor Information'!A:D, 4, FALSE), "")</f>
        <v>1500</v>
      </c>
      <c r="F15" s="18">
        <f t="shared" si="1"/>
        <v>1500</v>
      </c>
      <c r="G15" s="19"/>
    </row>
    <row r="16">
      <c r="A16" s="9" t="s">
        <v>89</v>
      </c>
      <c r="B16" s="17">
        <f>VLOOKUP(A16,Appoinment_Table[],4,false)</f>
        <v>46067</v>
      </c>
      <c r="C16" s="18" t="str">
        <f>VLOOKUP(A16,Appoinment_Table[],2,false
)</f>
        <v>Zain Malik</v>
      </c>
      <c r="D16" s="18" t="str">
        <f>VLOOKUP(A16,Appoinment_Table[],3,false )</f>
        <v>D015</v>
      </c>
      <c r="E16" s="18">
        <f>IFERROR(VLOOKUP(TRIM(D16), 'Doctor Information'!A:D, 4, FALSE), "")</f>
        <v>1700</v>
      </c>
      <c r="F16" s="18">
        <f t="shared" si="1"/>
        <v>1700</v>
      </c>
      <c r="G16" s="19"/>
    </row>
    <row r="17">
      <c r="A17" s="9" t="s">
        <v>91</v>
      </c>
      <c r="B17" s="17">
        <f>VLOOKUP(A17,Appoinment_Table[],4,false)</f>
        <v>46068</v>
      </c>
      <c r="C17" s="18" t="str">
        <f>VLOOKUP(A17,Appoinment_Table[],2,false
)</f>
        <v>Sara khan</v>
      </c>
      <c r="D17" s="18" t="str">
        <f>VLOOKUP(A17,Appoinment_Table[],3,false )</f>
        <v>D016</v>
      </c>
      <c r="E17" s="18">
        <f>IFERROR(VLOOKUP(TRIM(D17), 'Doctor Information'!A:D, 4, FALSE), "")</f>
        <v>1600</v>
      </c>
      <c r="F17" s="18">
        <f t="shared" si="1"/>
        <v>1600</v>
      </c>
      <c r="G17" s="19"/>
      <c r="I17" s="20"/>
    </row>
    <row r="18">
      <c r="A18" s="9" t="s">
        <v>93</v>
      </c>
      <c r="B18" s="17">
        <f>VLOOKUP(A18,Appoinment_Table[],4,false)</f>
        <v>46069</v>
      </c>
      <c r="C18" s="18" t="str">
        <f>VLOOKUP(A18,Appoinment_Table[],2,false
)</f>
        <v>Sobia malik</v>
      </c>
      <c r="D18" s="18" t="str">
        <f>VLOOKUP(A18,Appoinment_Table[],3,false )</f>
        <v>D017</v>
      </c>
      <c r="E18" s="18">
        <f>IFERROR(VLOOKUP(TRIM(D18), 'Doctor Information'!A:D, 4, FALSE), "")</f>
        <v>2200</v>
      </c>
      <c r="F18" s="18">
        <f t="shared" si="1"/>
        <v>2200</v>
      </c>
      <c r="G18" s="19"/>
    </row>
    <row r="19">
      <c r="A19" s="9" t="s">
        <v>95</v>
      </c>
      <c r="B19" s="17">
        <f>VLOOKUP(A19,Appoinment_Table[],4,false)</f>
        <v>46069</v>
      </c>
      <c r="C19" s="18" t="str">
        <f>VLOOKUP(A19,Appoinment_Table[],2,false
)</f>
        <v>Hamza rehan</v>
      </c>
      <c r="D19" s="18" t="str">
        <f>VLOOKUP(A19,Appoinment_Table[],3,false )</f>
        <v>D018</v>
      </c>
      <c r="E19" s="18">
        <f>IFERROR(VLOOKUP(TRIM(D19), 'Doctor Information'!A:D, 4, FALSE), "")</f>
        <v>1900</v>
      </c>
      <c r="F19" s="18">
        <f t="shared" si="1"/>
        <v>1900</v>
      </c>
      <c r="G19" s="19"/>
    </row>
    <row r="20">
      <c r="A20" s="9" t="s">
        <v>97</v>
      </c>
      <c r="B20" s="17">
        <f>VLOOKUP(A20,Appoinment_Table[],4,false)</f>
        <v>46055</v>
      </c>
      <c r="C20" s="18" t="str">
        <f>VLOOKUP(A20,Appoinment_Table[],2,false
)</f>
        <v>Talha khalid</v>
      </c>
      <c r="D20" s="18" t="str">
        <f>VLOOKUP(A20,Appoinment_Table[],3,false )</f>
        <v>D019</v>
      </c>
      <c r="E20" s="18">
        <f>IFERROR(VLOOKUP(TRIM(D20), 'Doctor Information'!A:D, 4, FALSE), "")</f>
        <v>2100</v>
      </c>
      <c r="F20" s="18">
        <f t="shared" si="1"/>
        <v>2100</v>
      </c>
      <c r="G20" s="19"/>
    </row>
    <row r="21">
      <c r="A21" s="9" t="s">
        <v>99</v>
      </c>
      <c r="B21" s="17">
        <f>VLOOKUP(A21,Appoinment_Table[],4,false)</f>
        <v>46071</v>
      </c>
      <c r="C21" s="18" t="str">
        <f>VLOOKUP(A21,Appoinment_Table[],2,false
)</f>
        <v>Zeeshan sheikh</v>
      </c>
      <c r="D21" s="18" t="str">
        <f>VLOOKUP(A21,Appoinment_Table[],3,false )</f>
        <v>D020</v>
      </c>
      <c r="E21" s="18">
        <f>IFERROR(VLOOKUP(TRIM(D21), 'Doctor Information'!A:D, 4, FALSE), "")</f>
        <v>2300</v>
      </c>
      <c r="F21" s="18">
        <f t="shared" si="1"/>
        <v>2300</v>
      </c>
      <c r="G21" s="19"/>
    </row>
    <row r="22">
      <c r="A22" s="19"/>
      <c r="B22" s="19"/>
      <c r="C22" s="19"/>
      <c r="D22" s="19"/>
      <c r="E22" s="19"/>
      <c r="F22" s="19"/>
      <c r="G22" s="19"/>
    </row>
    <row r="23">
      <c r="A23" s="19"/>
      <c r="B23" s="19"/>
      <c r="C23" s="19"/>
      <c r="D23" s="19"/>
      <c r="E23" s="19"/>
      <c r="F23" s="19"/>
      <c r="G23" s="19"/>
    </row>
    <row r="24">
      <c r="A24" s="19"/>
      <c r="B24" s="19"/>
      <c r="C24" s="19"/>
      <c r="D24" s="19"/>
      <c r="E24" s="19"/>
      <c r="F24" s="19"/>
      <c r="G24" s="19"/>
    </row>
    <row r="25">
      <c r="A25" s="19"/>
      <c r="B25" s="19"/>
      <c r="C25" s="19"/>
      <c r="D25" s="19"/>
      <c r="E25" s="19"/>
      <c r="F25" s="19"/>
      <c r="G25" s="19"/>
    </row>
    <row r="26">
      <c r="A26" s="19"/>
      <c r="B26" s="19"/>
      <c r="C26" s="19"/>
      <c r="D26" s="19"/>
      <c r="E26" s="19"/>
      <c r="F26" s="19"/>
      <c r="G26" s="19"/>
    </row>
    <row r="27">
      <c r="A27" s="19"/>
      <c r="B27" s="19"/>
      <c r="C27" s="19"/>
      <c r="D27" s="19"/>
      <c r="E27" s="19"/>
      <c r="F27" s="19"/>
      <c r="G27" s="19"/>
    </row>
    <row r="28">
      <c r="A28" s="19"/>
      <c r="B28" s="19"/>
      <c r="C28" s="19"/>
      <c r="D28" s="19"/>
      <c r="E28" s="19"/>
      <c r="F28" s="19"/>
      <c r="G28" s="19"/>
    </row>
    <row r="29">
      <c r="A29" s="19"/>
      <c r="B29" s="19"/>
      <c r="C29" s="19"/>
      <c r="D29" s="19"/>
      <c r="E29" s="19"/>
      <c r="F29" s="19"/>
      <c r="G29" s="19"/>
    </row>
    <row r="30">
      <c r="A30" s="19"/>
      <c r="B30" s="19"/>
      <c r="C30" s="19"/>
      <c r="D30" s="19"/>
      <c r="E30" s="19"/>
      <c r="F30" s="19"/>
      <c r="G30" s="19"/>
    </row>
    <row r="31">
      <c r="A31" s="19"/>
      <c r="B31" s="19"/>
      <c r="C31" s="19"/>
      <c r="D31" s="19"/>
      <c r="E31" s="19"/>
      <c r="F31" s="19"/>
      <c r="G31" s="19"/>
    </row>
    <row r="32">
      <c r="A32" s="19"/>
      <c r="B32" s="19"/>
      <c r="C32" s="19"/>
      <c r="D32" s="19"/>
      <c r="E32" s="19"/>
      <c r="F32" s="19"/>
      <c r="G32" s="19"/>
    </row>
  </sheetData>
  <dataValidations>
    <dataValidation type="list" allowBlank="1" showErrorMessage="1" sqref="A2:A21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2.5"/>
  </cols>
  <sheetData>
    <row r="1" ht="22.5" customHeight="1">
      <c r="A1" s="21" t="s">
        <v>105</v>
      </c>
      <c r="B1" s="21" t="s">
        <v>106</v>
      </c>
      <c r="C1" s="21" t="s">
        <v>107</v>
      </c>
      <c r="I1" s="22"/>
      <c r="J1" s="22"/>
      <c r="K1" s="22"/>
    </row>
    <row r="2">
      <c r="A2" s="23">
        <v>46061.0</v>
      </c>
      <c r="B2" s="24">
        <f>COUNTIF(Appoinment_Table[Appointment Date],A2)</f>
        <v>4</v>
      </c>
      <c r="C2" s="25">
        <f>SUMIF('Billing Table'!B2, A2, 'Billing Table'!F2)
</f>
        <v>2000</v>
      </c>
      <c r="I2" s="26"/>
      <c r="J2" s="27"/>
      <c r="K2" s="28"/>
    </row>
    <row r="3">
      <c r="A3" s="29">
        <v>46061.0</v>
      </c>
      <c r="B3" s="30">
        <f>COUNTIF(Appoinment_Table[Appointment Date],A3)</f>
        <v>4</v>
      </c>
      <c r="C3" s="31">
        <f>SUMIF('Billing Table'!B3, A3, 'Billing Table'!F3)
</f>
        <v>2500</v>
      </c>
      <c r="I3" s="26"/>
      <c r="J3" s="27"/>
      <c r="K3" s="28"/>
    </row>
    <row r="4">
      <c r="A4" s="23">
        <v>46062.0</v>
      </c>
      <c r="B4" s="24">
        <f>COUNTIF(Appoinment_Table[Appointment Date],A4)</f>
        <v>1</v>
      </c>
      <c r="C4" s="25">
        <f>SUMIF('Billing Table'!B4, A4, 'Billing Table'!F4)
</f>
        <v>1800</v>
      </c>
      <c r="I4" s="26"/>
      <c r="J4" s="27"/>
      <c r="K4" s="28"/>
    </row>
    <row r="5">
      <c r="A5" s="29">
        <v>46056.0</v>
      </c>
      <c r="B5" s="30">
        <f>COUNTIF(Appoinment_Table[Appointment Date],A5)</f>
        <v>1</v>
      </c>
      <c r="C5" s="31">
        <f>SUMIF('Billing Table'!B5, A5, 'Billing Table'!F5)
</f>
        <v>1500</v>
      </c>
      <c r="I5" s="26"/>
      <c r="J5" s="27"/>
      <c r="K5" s="28"/>
    </row>
    <row r="6">
      <c r="A6" s="23">
        <v>46063.0</v>
      </c>
      <c r="B6" s="24">
        <f>COUNTIF(Appoinment_Table[Appointment Date],A6)</f>
        <v>2</v>
      </c>
      <c r="C6" s="25">
        <f>SUMIF('Billing Table'!B6, A6, 'Billing Table'!F6)
</f>
        <v>1700</v>
      </c>
      <c r="I6" s="26"/>
      <c r="J6" s="27"/>
      <c r="K6" s="28"/>
    </row>
    <row r="7">
      <c r="A7" s="29">
        <v>46061.0</v>
      </c>
      <c r="B7" s="30">
        <f>COUNTIF(Appoinment_Table[Appointment Date],A7)</f>
        <v>4</v>
      </c>
      <c r="C7" s="31">
        <f>SUMIF('Billing Table'!B7, A7, 'Billing Table'!F7)
</f>
        <v>1600</v>
      </c>
      <c r="I7" s="26"/>
      <c r="J7" s="27"/>
      <c r="K7" s="28"/>
    </row>
    <row r="8">
      <c r="A8" s="23">
        <v>46063.0</v>
      </c>
      <c r="B8" s="24">
        <f>COUNTIF(Appoinment_Table[Appointment Date],A8)</f>
        <v>2</v>
      </c>
      <c r="C8" s="25">
        <f>SUMIF('Billing Table'!B8, A8, 'Billing Table'!F8)
</f>
        <v>2200</v>
      </c>
      <c r="I8" s="26"/>
      <c r="J8" s="27"/>
      <c r="K8" s="28"/>
    </row>
    <row r="9">
      <c r="A9" s="29">
        <v>46064.0</v>
      </c>
      <c r="B9" s="30">
        <f>COUNTIF(Appoinment_Table[Appointment Date],A9)</f>
        <v>2</v>
      </c>
      <c r="C9" s="31">
        <f>SUMIF('Billing Table'!B9, A9, 'Billing Table'!F9)
</f>
        <v>1900</v>
      </c>
      <c r="I9" s="26"/>
      <c r="J9" s="27"/>
      <c r="K9" s="28"/>
    </row>
    <row r="10">
      <c r="A10" s="23">
        <v>46064.0</v>
      </c>
      <c r="B10" s="24">
        <f>COUNTIF(Appoinment_Table[Appointment Date],A10)</f>
        <v>2</v>
      </c>
      <c r="C10" s="25">
        <f>SUMIF('Billing Table'!B10, A10, 'Billing Table'!F10)
</f>
        <v>2100</v>
      </c>
      <c r="I10" s="26"/>
      <c r="J10" s="27"/>
      <c r="K10" s="28"/>
    </row>
    <row r="11">
      <c r="A11" s="29">
        <v>46065.0</v>
      </c>
      <c r="B11" s="30">
        <f>COUNTIF(Appoinment_Table[Appointment Date],A11)</f>
        <v>2</v>
      </c>
      <c r="C11" s="31">
        <f>SUMIF('Billing Table'!B11, A11, 'Billing Table'!F11)
</f>
        <v>2300</v>
      </c>
      <c r="I11" s="26"/>
      <c r="J11" s="27"/>
      <c r="K11" s="28"/>
    </row>
    <row r="12">
      <c r="A12" s="23">
        <v>46065.0</v>
      </c>
      <c r="B12" s="24">
        <f>COUNTIF(Appoinment_Table[Appointment Date],A12)</f>
        <v>2</v>
      </c>
      <c r="C12" s="25">
        <f>SUMIF('Billing Table'!B12, A12, 'Billing Table'!F12)
</f>
        <v>2000</v>
      </c>
      <c r="I12" s="26"/>
      <c r="J12" s="27"/>
      <c r="K12" s="28"/>
    </row>
    <row r="13">
      <c r="A13" s="29">
        <v>46059.0</v>
      </c>
      <c r="B13" s="30">
        <f>COUNTIF(Appoinment_Table[Appointment Date],A13)</f>
        <v>1</v>
      </c>
      <c r="C13" s="31">
        <f>SUMIF('Billing Table'!B13, A13, 'Billing Table'!F13)
</f>
        <v>2500</v>
      </c>
      <c r="I13" s="26"/>
      <c r="J13" s="27"/>
      <c r="K13" s="28"/>
    </row>
    <row r="14">
      <c r="A14" s="23">
        <v>46066.0</v>
      </c>
      <c r="B14" s="24">
        <f>COUNTIF(Appoinment_Table[Appointment Date],A14)</f>
        <v>1</v>
      </c>
      <c r="C14" s="25">
        <f>SUMIF('Billing Table'!B14, A14, 'Billing Table'!F14)
</f>
        <v>1800</v>
      </c>
      <c r="D14" s="32"/>
      <c r="I14" s="26"/>
      <c r="J14" s="27"/>
      <c r="K14" s="28"/>
    </row>
    <row r="15">
      <c r="A15" s="29">
        <v>46061.0</v>
      </c>
      <c r="B15" s="30">
        <f>COUNTIF(Appoinment_Table[Appointment Date],A15)</f>
        <v>4</v>
      </c>
      <c r="C15" s="31">
        <f>SUMIF('Billing Table'!B15, A15, 'Billing Table'!F15)
</f>
        <v>1500</v>
      </c>
      <c r="I15" s="26"/>
      <c r="J15" s="27"/>
      <c r="K15" s="28"/>
    </row>
    <row r="16">
      <c r="A16" s="23">
        <v>46067.0</v>
      </c>
      <c r="B16" s="24">
        <f>COUNTIF(Appoinment_Table[Appointment Date],A16)</f>
        <v>1</v>
      </c>
      <c r="C16" s="25">
        <f>SUMIF('Billing Table'!B16, A16, 'Billing Table'!F16)
</f>
        <v>1700</v>
      </c>
      <c r="I16" s="26"/>
      <c r="J16" s="27"/>
      <c r="K16" s="28"/>
    </row>
    <row r="17">
      <c r="A17" s="29">
        <v>46068.0</v>
      </c>
      <c r="B17" s="30">
        <f>COUNTIF(Appoinment_Table[Appointment Date],A17)</f>
        <v>1</v>
      </c>
      <c r="C17" s="31">
        <f>SUMIF('Billing Table'!B17, A17, 'Billing Table'!F17)
</f>
        <v>1600</v>
      </c>
      <c r="I17" s="26"/>
      <c r="J17" s="27"/>
      <c r="K17" s="28"/>
    </row>
    <row r="18">
      <c r="A18" s="23">
        <v>46069.0</v>
      </c>
      <c r="B18" s="24">
        <f>COUNTIF(Appoinment_Table[Appointment Date],A18)</f>
        <v>2</v>
      </c>
      <c r="C18" s="25">
        <f>SUMIF('Billing Table'!B18, A18, 'Billing Table'!F18)
</f>
        <v>2200</v>
      </c>
      <c r="I18" s="26"/>
      <c r="J18" s="27"/>
      <c r="K18" s="28"/>
    </row>
    <row r="19">
      <c r="A19" s="29">
        <v>46069.0</v>
      </c>
      <c r="B19" s="30">
        <f>COUNTIF(Appoinment_Table[Appointment Date],A19)</f>
        <v>2</v>
      </c>
      <c r="C19" s="31">
        <f>SUMIF('Billing Table'!B19, A19, 'Billing Table'!F19)
</f>
        <v>1900</v>
      </c>
      <c r="I19" s="26"/>
      <c r="J19" s="27"/>
      <c r="K19" s="28"/>
    </row>
    <row r="20">
      <c r="A20" s="23">
        <v>46055.0</v>
      </c>
      <c r="B20" s="24">
        <f>COUNTIF(Appoinment_Table[Appointment Date],A20)</f>
        <v>1</v>
      </c>
      <c r="C20" s="25">
        <f>SUMIF('Billing Table'!B20, A20, 'Billing Table'!F20)
</f>
        <v>2100</v>
      </c>
      <c r="G20" s="6"/>
      <c r="I20" s="26"/>
      <c r="J20" s="27"/>
      <c r="K20" s="28"/>
    </row>
    <row r="21">
      <c r="A21" s="29">
        <v>46071.0</v>
      </c>
      <c r="B21" s="30">
        <f>COUNTIF(Appoinment_Table[Appointment Date],A21)</f>
        <v>1</v>
      </c>
      <c r="C21" s="31">
        <f>SUMIF('Billing Table'!B21, A21, 'Billing Table'!F21)
</f>
        <v>2300</v>
      </c>
      <c r="I21" s="26"/>
      <c r="J21" s="27"/>
      <c r="K21" s="28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25"/>
    <col customWidth="1" min="3" max="3" width="22.13"/>
    <col customWidth="1" min="4" max="4" width="22.63"/>
  </cols>
  <sheetData>
    <row r="1" ht="22.5" customHeight="1">
      <c r="A1" s="33" t="s">
        <v>0</v>
      </c>
      <c r="B1" s="33" t="s">
        <v>1</v>
      </c>
      <c r="C1" s="33" t="s">
        <v>106</v>
      </c>
      <c r="D1" s="33" t="s">
        <v>108</v>
      </c>
    </row>
    <row r="2" ht="22.5" customHeight="1">
      <c r="A2" s="34" t="str">
        <f t="array" ref="A2">UNIQUE('Billing Table'!D2)</f>
        <v>D001</v>
      </c>
      <c r="B2" s="35" t="str">
        <f t="array" ref="B2">UNIQUE('Doctor Information'!B2)</f>
        <v>Dr. Ali</v>
      </c>
      <c r="C2" s="36">
        <f>COUNTIF('Appoinments Table'!C:C,'Doctor Information'!A2)</f>
        <v>1</v>
      </c>
      <c r="D2" s="35">
        <f>SUMIF('Appoinments Table'!C:C,'Doctor Information'!A2,'Billing Table'!F:F)</f>
        <v>2000</v>
      </c>
    </row>
    <row r="3" ht="22.5" customHeight="1">
      <c r="A3" s="34" t="str">
        <f t="array" ref="A3">UNIQUE('Billing Table'!D3)</f>
        <v>D002</v>
      </c>
      <c r="B3" s="35" t="str">
        <f t="array" ref="B3">UNIQUE('Doctor Information'!B3)</f>
        <v>Dr. Sana</v>
      </c>
      <c r="C3" s="37">
        <f>COUNTIF('Appoinments Table'!C:C,'Doctor Information'!A3)</f>
        <v>1</v>
      </c>
      <c r="D3" s="35">
        <f>SUMIF('Appoinments Table'!C:C,'Doctor Information'!A3,'Billing Table'!F:F)</f>
        <v>2500</v>
      </c>
    </row>
    <row r="4" ht="22.5" customHeight="1">
      <c r="A4" s="34" t="str">
        <f t="array" ref="A4">UNIQUE('Billing Table'!D4)</f>
        <v>D003</v>
      </c>
      <c r="B4" s="35" t="str">
        <f t="array" ref="B4">UNIQUE('Doctor Information'!B4)</f>
        <v>Dr. Ahmed</v>
      </c>
      <c r="C4" s="36">
        <f>COUNTIF('Appoinments Table'!C:C,'Doctor Information'!A4)</f>
        <v>1</v>
      </c>
      <c r="D4" s="35">
        <f>SUMIF('Appoinments Table'!C:C,'Doctor Information'!A4,'Billing Table'!F:F)</f>
        <v>1800</v>
      </c>
    </row>
    <row r="5" ht="22.5" customHeight="1">
      <c r="A5" s="34" t="str">
        <f t="array" ref="A5">UNIQUE('Billing Table'!D5)</f>
        <v>D004</v>
      </c>
      <c r="B5" s="35" t="str">
        <f t="array" ref="B5">UNIQUE('Doctor Information'!B5)</f>
        <v>Dr. Ayesha</v>
      </c>
      <c r="C5" s="37">
        <f>COUNTIF('Appoinments Table'!C:C,'Doctor Information'!A5)</f>
        <v>1</v>
      </c>
      <c r="D5" s="35">
        <f>SUMIF('Appoinments Table'!C:C,'Doctor Information'!A5,'Billing Table'!F:F)</f>
        <v>1500</v>
      </c>
    </row>
    <row r="6" ht="22.5" customHeight="1">
      <c r="A6" s="34" t="str">
        <f t="array" ref="A6">UNIQUE('Billing Table'!D6)</f>
        <v>D005</v>
      </c>
      <c r="B6" s="35" t="str">
        <f t="array" ref="B6">UNIQUE('Doctor Information'!B6)</f>
        <v>Dr. Faisal</v>
      </c>
      <c r="C6" s="36">
        <f>COUNTIF('Appoinments Table'!C:C,'Doctor Information'!A6)</f>
        <v>1</v>
      </c>
      <c r="D6" s="35">
        <f>SUMIF('Appoinments Table'!C:C,'Doctor Information'!A6,'Billing Table'!F:F)</f>
        <v>1700</v>
      </c>
    </row>
    <row r="7" ht="22.5" customHeight="1">
      <c r="A7" s="34" t="str">
        <f t="array" ref="A7">UNIQUE('Billing Table'!D7)</f>
        <v>D006</v>
      </c>
      <c r="B7" s="35" t="str">
        <f t="array" ref="B7">UNIQUE('Doctor Information'!B7)</f>
        <v>Dr. Hina</v>
      </c>
      <c r="C7" s="37">
        <f>COUNTIF('Appoinments Table'!C:C,'Doctor Information'!A7)</f>
        <v>1</v>
      </c>
      <c r="D7" s="35">
        <f>SUMIF('Appoinments Table'!C:C,'Doctor Information'!A7,'Billing Table'!F:F)</f>
        <v>1600</v>
      </c>
    </row>
    <row r="8" ht="22.5" customHeight="1">
      <c r="A8" s="34" t="str">
        <f t="array" ref="A8">UNIQUE('Billing Table'!D8)</f>
        <v>D007</v>
      </c>
      <c r="B8" s="35" t="str">
        <f t="array" ref="B8">UNIQUE('Doctor Information'!B8)</f>
        <v>Dr. Imran</v>
      </c>
      <c r="C8" s="36">
        <f>COUNTIF('Appoinments Table'!C:C,'Doctor Information'!A8)</f>
        <v>1</v>
      </c>
      <c r="D8" s="35">
        <f>SUMIF('Appoinments Table'!C:C,'Doctor Information'!A8,'Billing Table'!F:F)</f>
        <v>2200</v>
      </c>
    </row>
    <row r="9" ht="22.5" customHeight="1">
      <c r="A9" s="34" t="str">
        <f t="array" ref="A9">UNIQUE('Billing Table'!D9)</f>
        <v>D008</v>
      </c>
      <c r="B9" s="35" t="str">
        <f t="array" ref="B9">UNIQUE('Doctor Information'!B9)</f>
        <v>Dr. Saba</v>
      </c>
      <c r="C9" s="37">
        <f>COUNTIF('Appoinments Table'!C:C,'Doctor Information'!A9)</f>
        <v>1</v>
      </c>
      <c r="D9" s="35">
        <f>SUMIF('Appoinments Table'!C:C,'Doctor Information'!A9,'Billing Table'!F:F)</f>
        <v>1900</v>
      </c>
    </row>
    <row r="10" ht="22.5" customHeight="1">
      <c r="A10" s="34" t="str">
        <f t="array" ref="A10">UNIQUE('Billing Table'!D10)</f>
        <v>D009</v>
      </c>
      <c r="B10" s="35" t="str">
        <f t="array" ref="B10">UNIQUE('Doctor Information'!B10)</f>
        <v>Dr. Kamran</v>
      </c>
      <c r="C10" s="36">
        <f>COUNTIF('Appoinments Table'!C:C,'Doctor Information'!A10)</f>
        <v>1</v>
      </c>
      <c r="D10" s="35">
        <f>SUMIF('Appoinments Table'!C:C,'Doctor Information'!A10,'Billing Table'!F:F)</f>
        <v>2100</v>
      </c>
    </row>
    <row r="11" ht="22.5" customHeight="1">
      <c r="A11" s="34" t="str">
        <f t="array" ref="A11">UNIQUE('Billing Table'!D11)</f>
        <v>D010</v>
      </c>
      <c r="B11" s="35" t="str">
        <f t="array" ref="B11">UNIQUE('Doctor Information'!B11)</f>
        <v>Dr. Nida</v>
      </c>
      <c r="C11" s="37">
        <f>COUNTIF('Appoinments Table'!C:C,'Doctor Information'!A11)</f>
        <v>1</v>
      </c>
      <c r="D11" s="35">
        <f>SUMIF('Appoinments Table'!C:C,'Doctor Information'!A11,'Billing Table'!F:F)</f>
        <v>2300</v>
      </c>
    </row>
    <row r="12" ht="22.5" customHeight="1">
      <c r="A12" s="34" t="str">
        <f t="array" ref="A12">UNIQUE('Billing Table'!D12)</f>
        <v>D011</v>
      </c>
      <c r="B12" s="35" t="str">
        <f t="array" ref="B12">UNIQUE('Doctor Information'!B12)</f>
        <v>Dr. Farhan</v>
      </c>
      <c r="C12" s="36">
        <f>COUNTIF('Appoinments Table'!C:C,'Doctor Information'!A12)</f>
        <v>1</v>
      </c>
      <c r="D12" s="35">
        <f>SUMIF('Appoinments Table'!C:C,'Doctor Information'!A12,'Billing Table'!F:F)</f>
        <v>2000</v>
      </c>
    </row>
    <row r="13" ht="22.5" customHeight="1">
      <c r="A13" s="34" t="str">
        <f t="array" ref="A13">UNIQUE('Billing Table'!D13)</f>
        <v>D012</v>
      </c>
      <c r="B13" s="35" t="str">
        <f t="array" ref="B13">UNIQUE('Doctor Information'!B13)</f>
        <v>Dr. Maria</v>
      </c>
      <c r="C13" s="37">
        <f>COUNTIF('Appoinments Table'!C:C,'Doctor Information'!A13)</f>
        <v>1</v>
      </c>
      <c r="D13" s="35">
        <f>SUMIF('Appoinments Table'!C:C,'Doctor Information'!A13,'Billing Table'!F:F)</f>
        <v>2500</v>
      </c>
    </row>
    <row r="14" ht="22.5" customHeight="1">
      <c r="A14" s="34" t="str">
        <f t="array" ref="A14">UNIQUE('Billing Table'!D14)</f>
        <v>D013</v>
      </c>
      <c r="B14" s="35" t="str">
        <f t="array" ref="B14">UNIQUE('Doctor Information'!B14)</f>
        <v>Dr. Saad</v>
      </c>
      <c r="C14" s="36">
        <f>COUNTIF('Appoinments Table'!C:C,'Doctor Information'!A14)</f>
        <v>1</v>
      </c>
      <c r="D14" s="35">
        <f>SUMIF('Appoinments Table'!C:C,'Doctor Information'!A14,'Billing Table'!F:F)</f>
        <v>1800</v>
      </c>
    </row>
    <row r="15" ht="22.5" customHeight="1">
      <c r="A15" s="34" t="str">
        <f t="array" ref="A15">UNIQUE('Billing Table'!D15)</f>
        <v>D014</v>
      </c>
      <c r="B15" s="35" t="str">
        <f t="array" ref="B15">UNIQUE('Doctor Information'!B15)</f>
        <v>Dr. Rabia</v>
      </c>
      <c r="C15" s="37">
        <f>COUNTIF('Appoinments Table'!C:C,'Doctor Information'!A15)</f>
        <v>1</v>
      </c>
      <c r="D15" s="35">
        <f>SUMIF('Appoinments Table'!C:C,'Doctor Information'!A15,'Billing Table'!F:F)</f>
        <v>1500</v>
      </c>
    </row>
    <row r="16" ht="22.5" customHeight="1">
      <c r="A16" s="34" t="str">
        <f t="array" ref="A16">UNIQUE('Billing Table'!D16)</f>
        <v>D015</v>
      </c>
      <c r="B16" s="35" t="str">
        <f t="array" ref="B16">UNIQUE('Doctor Information'!B16)</f>
        <v>Dr. Usman</v>
      </c>
      <c r="C16" s="36">
        <f>COUNTIF('Appoinments Table'!C:C,'Doctor Information'!A16)</f>
        <v>1</v>
      </c>
      <c r="D16" s="35">
        <f>SUMIF('Appoinments Table'!C:C,'Doctor Information'!A16,'Billing Table'!F:F)</f>
        <v>1700</v>
      </c>
    </row>
    <row r="17" ht="22.5" customHeight="1">
      <c r="A17" s="34" t="str">
        <f t="array" ref="A17">UNIQUE('Billing Table'!D17)</f>
        <v>D016</v>
      </c>
      <c r="B17" s="35" t="str">
        <f t="array" ref="B17">UNIQUE('Doctor Information'!B17)</f>
        <v>Dr. Iqra</v>
      </c>
      <c r="C17" s="37">
        <f>COUNTIF('Appoinments Table'!C:C,'Doctor Information'!A17)</f>
        <v>1</v>
      </c>
      <c r="D17" s="35">
        <f>SUMIF('Appoinments Table'!C:C,'Doctor Information'!A17,'Billing Table'!F:F)</f>
        <v>1600</v>
      </c>
    </row>
    <row r="18" ht="22.5" customHeight="1">
      <c r="A18" s="34" t="str">
        <f t="array" ref="A18">UNIQUE('Billing Table'!D18)</f>
        <v>D017</v>
      </c>
      <c r="B18" s="35" t="str">
        <f t="array" ref="B18">UNIQUE('Doctor Information'!B18)</f>
        <v>Dr. Zain</v>
      </c>
      <c r="C18" s="36">
        <f>COUNTIF('Appoinments Table'!C:C,'Doctor Information'!A18)</f>
        <v>1</v>
      </c>
      <c r="D18" s="35">
        <f>SUMIF('Appoinments Table'!C:C,'Doctor Information'!A18,'Billing Table'!F:F)</f>
        <v>2200</v>
      </c>
    </row>
    <row r="19" ht="22.5" customHeight="1">
      <c r="A19" s="34" t="str">
        <f t="array" ref="A19">UNIQUE('Billing Table'!D19)</f>
        <v>D018</v>
      </c>
      <c r="B19" s="35" t="str">
        <f t="array" ref="B19">UNIQUE('Doctor Information'!B19)</f>
        <v>Dr. Huma</v>
      </c>
      <c r="C19" s="37">
        <f>COUNTIF('Appoinments Table'!C:C,'Doctor Information'!A19)</f>
        <v>1</v>
      </c>
      <c r="D19" s="35">
        <f>SUMIF('Appoinments Table'!C:C,'Doctor Information'!A19,'Billing Table'!F:F)</f>
        <v>1900</v>
      </c>
    </row>
    <row r="20" ht="22.5" customHeight="1">
      <c r="A20" s="34" t="str">
        <f t="array" ref="A20">UNIQUE('Billing Table'!D20)</f>
        <v>D019</v>
      </c>
      <c r="B20" s="35" t="str">
        <f t="array" ref="B20">UNIQUE('Doctor Information'!B20)</f>
        <v>Dr. Bilal</v>
      </c>
      <c r="C20" s="36">
        <f>COUNTIF('Appoinments Table'!C:C,'Doctor Information'!A20)</f>
        <v>1</v>
      </c>
      <c r="D20" s="35">
        <f>SUMIF('Appoinments Table'!C:C,'Doctor Information'!A20,'Billing Table'!F:F)</f>
        <v>2100</v>
      </c>
    </row>
    <row r="21" ht="22.5" customHeight="1">
      <c r="A21" s="34" t="str">
        <f t="array" ref="A21">UNIQUE('Billing Table'!D21)</f>
        <v>D020</v>
      </c>
      <c r="B21" s="35" t="str">
        <f t="array" ref="B21">UNIQUE('Doctor Information'!B21)</f>
        <v>Dr. Sana Khan</v>
      </c>
      <c r="C21" s="37">
        <f>COUNTIF('Appoinments Table'!C:C,'Doctor Information'!A21)</f>
        <v>1</v>
      </c>
      <c r="D21" s="35">
        <f>SUMIF('Appoinments Table'!C:C,'Doctor Information'!A21,'Billing Table'!F:F)</f>
        <v>2300</v>
      </c>
    </row>
  </sheetData>
  <drawing r:id="rId1"/>
  <tableParts count="1">
    <tablePart r:id="rId3"/>
  </tableParts>
</worksheet>
</file>